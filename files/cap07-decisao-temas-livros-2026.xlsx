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 mês" sheetId="2" state="visible" r:id="rId2"/>
    <sheet xmlns:r="http://schemas.openxmlformats.org/officeDocument/2006/relationships" name="Pedidos por título" sheetId="3" state="visible" r:id="rId3"/>
    <sheet xmlns:r="http://schemas.openxmlformats.org/officeDocument/2006/relationships" name="Dados royal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-#,##0.00;&quot;-&quot;"/>
    <numFmt numFmtId="165" formatCode="#,##0;-#,##0;&quot;-&quot;"/>
    <numFmt numFmtId="166" formatCode="&quot;R$&quot; #,##0.00;-&quot;R$&quot; #,##0.00;&quot;-&quot;"/>
    <numFmt numFmtId="167" formatCode="0.0%"/>
  </numFmts>
  <fonts count="9">
    <font>
      <name val="Calibri"/>
      <family val="2"/>
      <color theme="1"/>
      <sz val="11"/>
      <scheme val="minor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sz val="14"/>
    </font>
    <font>
      <name val="Arial"/>
      <b val="1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166" fontId="8" fillId="0" borderId="1" pivotButton="0" quotePrefix="0" xfId="0"/>
    <xf numFmtId="166" fontId="6" fillId="0" borderId="1" pivotButton="0" quotePrefix="0" xfId="0"/>
    <xf numFmtId="166" fontId="5" fillId="0" borderId="1" pivotButton="0" quotePrefix="0" xfId="0"/>
    <xf numFmtId="0" fontId="5" fillId="0" borderId="0" pivotButton="0" quotePrefix="0" xfId="0"/>
    <xf numFmtId="166" fontId="4" fillId="0" borderId="1" pivotButton="0" quotePrefix="0" xfId="0"/>
    <xf numFmtId="165" fontId="6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6" fillId="0" borderId="1" pivotButton="0" quotePrefix="0" xfId="0"/>
    <xf numFmtId="0" fontId="5" fillId="4" borderId="0" pivotButton="0" quotePrefix="0" xfId="0"/>
    <xf numFmtId="0" fontId="0" fillId="4" borderId="0" pivotButton="0" quotePrefix="0" xfId="0"/>
    <xf numFmtId="0" fontId="5" fillId="0" borderId="1" pivotButton="0" quotePrefix="0" xfId="0"/>
    <xf numFmtId="166" fontId="6" fillId="4" borderId="1" pivotButton="0" quotePrefix="0" xfId="0"/>
    <xf numFmtId="167" fontId="4" fillId="4" borderId="1" pivotButton="0" quotePrefix="0" xfId="0"/>
    <xf numFmtId="166" fontId="4" fillId="4" borderId="1" pivotButton="0" quotePrefix="0" xfId="0"/>
    <xf numFmtId="0" fontId="5" fillId="5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7" fontId="5" fillId="5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wrapText="1"/>
    </xf>
    <xf numFmtId="166" fontId="3" fillId="0" borderId="1" pivotButton="0" quotePrefix="0" xfId="0"/>
    <xf numFmtId="165" fontId="3" fillId="0" borderId="1" pivotButton="0" quotePrefix="0" xfId="0"/>
    <xf numFmtId="167" fontId="3" fillId="0" borderId="1" pivotButton="0" quotePrefix="0" xfId="0"/>
    <xf numFmtId="0" fontId="0" fillId="5" borderId="1" pivotButton="0" quotePrefix="0" xfId="0"/>
    <xf numFmtId="164" fontId="3" fillId="0" borderId="1" pivotButton="0" quotePrefix="0" xfId="0"/>
    <xf numFmtId="164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Royalty por mês em 2026 (R$, Amazon.com.br)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'Por mês'!C1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>
              <a:prstDash val="solid"/>
            </a:ln>
          </spPr>
          <cat>
            <numRef>
              <f>'Por mês'!$A$2:$A$11</f>
            </numRef>
          </cat>
          <val>
            <numRef>
              <f>'Por mês'!$C$2:$C$11</f>
            </numRef>
          </val>
        </ser>
        <ser>
          <idx val="1"/>
          <order val="1"/>
          <tx>
            <strRef>
              <f>'Por mês'!D1</f>
            </strRef>
          </tx>
          <spPr>
            <a:solidFill xmlns:a="http://schemas.openxmlformats.org/drawingml/2006/main">
              <a:srgbClr val="F4B183"/>
            </a:solidFill>
            <a:ln xmlns:a="http://schemas.openxmlformats.org/drawingml/2006/main">
              <a:prstDash val="solid"/>
            </a:ln>
          </spPr>
          <cat>
            <numRef>
              <f>'Por mês'!$A$2:$A$11</f>
            </numRef>
          </cat>
          <val>
            <numRef>
              <f>'Por mês'!$D$2:$D$11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numFmt formatCode="&quot;R$&quot; 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Claude</author>
  </authors>
  <commentList>
    <comment ref="J3" authorId="0" shapeId="0">
      <text>
        <t>Regra informada por você no pedido: a partir de R$5,99 o royalty é 70% do preço; abaixo, 35%.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8" customWidth="1" min="3" max="3"/>
    <col width="18" customWidth="1" min="4" max="4"/>
    <col width="14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Editora: em que tipo de livro investir (base: royalties de 2026)</t>
        </is>
      </c>
    </row>
    <row r="2">
      <c r="A2" s="2" t="inlineStr">
        <is>
          <t>Valores em R$, só Amazon.com.br. Tudo é fórmula: clique na célula para ver a conta. Células em laranja são ESTIMATIVA.</t>
        </is>
      </c>
    </row>
    <row r="4">
      <c r="A4" s="3" t="inlineStr">
        <is>
          <t>Números do ano (royalty real, informado pela Amazon)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Total recebido em 2026 (ebook + KU pago)</t>
        </is>
      </c>
      <c r="B5" s="6">
        <f>'Por mês'!E12</f>
        <v>1367.19</v>
      </c>
      <c r="C5" s="2" t="inlineStr">
        <is>
          <t>jan a 23/out; sem o KU de outubro, que ainda não foi pago</t>
        </is>
      </c>
    </row>
    <row r="6">
      <c r="A6" s="5" t="inlineStr">
        <is>
          <t xml:space="preserve">  dos quais royalty de ebook</t>
        </is>
      </c>
      <c r="B6" s="7">
        <f>'Por mês'!C12</f>
        <v>1276.81</v>
      </c>
      <c r="C6" s="2" t="inlineStr"/>
    </row>
    <row r="7">
      <c r="A7" s="5" t="inlineStr">
        <is>
          <t xml:space="preserve">  dos quais Kindle Unlimited já pago</t>
        </is>
      </c>
      <c r="B7" s="7">
        <f>'Por mês'!D12</f>
        <v>90.38</v>
      </c>
      <c r="C7" s="2" t="inlineStr"/>
    </row>
    <row r="8">
      <c r="A8" s="5" t="inlineStr">
        <is>
          <t>Melhor mês</t>
        </is>
      </c>
      <c r="B8" s="8">
        <f>MAX('Por mês'!E2:E11)</f>
        <v>391.43</v>
      </c>
      <c r="C8" s="9" t="str">
        <f>INDEX('Por mês'!A2:A11,MATCH(B8,'Por mês'!E2:E11,0))</f>
        <v>jun/2026</v>
      </c>
    </row>
    <row r="9">
      <c r="A9" s="5" t="inlineStr">
        <is>
          <t>Pior mês</t>
        </is>
      </c>
      <c r="B9" s="8">
        <f>MIN('Por mês'!E2:E11)</f>
        <v>7.11</v>
      </c>
      <c r="C9" s="9" t="str">
        <f>INDEX('Por mês'!A2:A11,MATCH(B9,'Por mês'!E2:E11,0))</f>
        <v>jan/2026</v>
      </c>
    </row>
    <row r="10">
      <c r="A10" s="5" t="inlineStr">
        <is>
          <t>Média por mês (jan a set, meses fechados)</t>
        </is>
      </c>
      <c r="B10" s="10">
        <f>AVERAGE('Por mês'!E2:E10)</f>
        <v>115.95333333333332</v>
      </c>
      <c r="C10" s="2" t="inlineStr">
        <is>
          <t>outubro fica fora por estar incompleto</t>
        </is>
      </c>
    </row>
    <row r="11">
      <c r="A11" s="5" t="inlineStr">
        <is>
          <t>KU de outubro ainda não pago (páginas lidas)</t>
        </is>
      </c>
      <c r="B11" s="11">
        <f>'Por mês'!F12</f>
        <v>584.0</v>
      </c>
      <c r="C11" s="2" t="inlineStr">
        <is>
          <t>vira dinheiro quando a Amazon pagar; fora do total</t>
        </is>
      </c>
    </row>
    <row r="13">
      <c r="A13" s="3" t="inlineStr">
        <is>
          <t>Fora do total: outras lojas, em outras moedas (valores pequenos)</t>
        </is>
      </c>
      <c r="B13" s="4" t="n"/>
      <c r="C13" s="4" t="n"/>
      <c r="D13" s="4" t="n"/>
      <c r="E13" s="4" t="n"/>
      <c r="F13" s="4" t="n"/>
      <c r="G13" s="4" t="n"/>
    </row>
    <row r="14" ht="30" customHeight="1">
      <c r="A14" s="12" t="inlineStr">
        <is>
          <t>Moeda</t>
        </is>
      </c>
      <c r="B14" s="12" t="inlineStr">
        <is>
          <t>Royalty ebook</t>
        </is>
      </c>
      <c r="C14" s="12" t="inlineStr">
        <is>
          <t>KU pago (dinheiro)</t>
        </is>
      </c>
      <c r="D14" s="12" t="inlineStr">
        <is>
          <t>KU não pago (páginas)</t>
        </is>
      </c>
    </row>
    <row r="15">
      <c r="A15" s="13" t="inlineStr">
        <is>
          <t>USD</t>
        </is>
      </c>
      <c r="B15" s="14">
        <f>SUMIFS('Dados royalties'!$D$3:$D$18,'Dados royalties'!$C$3:$C$18,$A15)</f>
        <v>1.35</v>
      </c>
      <c r="C15" s="14">
        <f>SUMIFS('Dados royalties'!$G$3:$G$18,'Dados royalties'!$C$3:$C$18,$A15)</f>
        <v>0.0</v>
      </c>
      <c r="D15" s="11">
        <f>SUMIFS('Dados royalties'!$H$3:$H$18,'Dados royalties'!$C$3:$C$18,$A15)</f>
        <v>32.0</v>
      </c>
      <c r="E15" s="2" t="inlineStr">
        <is>
          <t>na moeda de cada loja, sem conversão</t>
        </is>
      </c>
    </row>
    <row r="16">
      <c r="A16" s="13" t="inlineStr">
        <is>
          <t>EUR</t>
        </is>
      </c>
      <c r="B16" s="14">
        <f>SUMIFS('Dados royalties'!$D$3:$D$18,'Dados royalties'!$C$3:$C$18,$A16)</f>
        <v>1.43</v>
      </c>
      <c r="C16" s="14">
        <f>SUMIFS('Dados royalties'!$G$3:$G$18,'Dados royalties'!$C$3:$C$18,$A16)</f>
        <v>0.0</v>
      </c>
      <c r="D16" s="11">
        <f>SUMIFS('Dados royalties'!$H$3:$H$18,'Dados royalties'!$C$3:$C$18,$A16)</f>
        <v>0.0</v>
      </c>
    </row>
    <row r="17">
      <c r="A17" s="13" t="inlineStr">
        <is>
          <t>MXN</t>
        </is>
      </c>
      <c r="B17" s="14">
        <f>SUMIFS('Dados royalties'!$D$3:$D$18,'Dados royalties'!$C$3:$C$18,$A17)</f>
        <v>0.0</v>
      </c>
      <c r="C17" s="14">
        <f>SUMIFS('Dados royalties'!$G$3:$G$18,'Dados royalties'!$C$3:$C$18,$A17)</f>
        <v>0.48</v>
      </c>
      <c r="D17" s="11">
        <f>SUMIFS('Dados royalties'!$H$3:$H$18,'Dados royalties'!$C$3:$C$18,$A17)</f>
        <v>0.0</v>
      </c>
    </row>
    <row r="18">
      <c r="A18" s="13" t="inlineStr">
        <is>
          <t>AUD</t>
        </is>
      </c>
      <c r="B18" s="14">
        <f>SUMIFS('Dados royalties'!$D$3:$D$18,'Dados royalties'!$C$3:$C$18,$A18)</f>
        <v>0.0</v>
      </c>
      <c r="C18" s="14">
        <f>SUMIFS('Dados royalties'!$G$3:$G$18,'Dados royalties'!$C$3:$C$18,$A18)</f>
        <v>0.07</v>
      </c>
      <c r="D18" s="11">
        <f>SUMIFS('Dados royalties'!$H$3:$H$18,'Dados royalties'!$C$3:$C$18,$A18)</f>
        <v>0.0</v>
      </c>
    </row>
    <row r="20">
      <c r="A20" s="15" t="inlineStr">
        <is>
          <t>Dinheiro estimado por tema (ESTIMATIVA: pedidos x preço atual x 70% ou 35%)</t>
        </is>
      </c>
      <c r="B20" s="16" t="n"/>
      <c r="C20" s="16" t="n"/>
      <c r="D20" s="16" t="n"/>
      <c r="E20" s="16" t="n"/>
      <c r="F20" s="16" t="n"/>
      <c r="G20" s="16" t="n"/>
    </row>
    <row r="21" ht="42" customHeight="1">
      <c r="A21" s="12" t="inlineStr">
        <is>
          <t>Tema</t>
        </is>
      </c>
      <c r="B21" s="12" t="inlineStr">
        <is>
          <t>Títulos</t>
        </is>
      </c>
      <c r="C21" s="12" t="inlineStr">
        <is>
          <t>Pedidos (dez/25 a 23/out/26)</t>
        </is>
      </c>
      <c r="D21" s="12" t="inlineStr">
        <is>
          <t>Royalty estimado (R$)</t>
        </is>
      </c>
      <c r="E21" s="12" t="inlineStr">
        <is>
          <t>% do total estimado</t>
        </is>
      </c>
      <c r="F21" s="12" t="inlineStr">
        <is>
          <t>Média por título (R$)</t>
        </is>
      </c>
      <c r="G21" s="12" t="inlineStr">
        <is>
          <t>Royalty médio por pedido (R$)</t>
        </is>
      </c>
    </row>
    <row r="22">
      <c r="A22" s="17" t="inlineStr">
        <is>
          <t>IA para dev</t>
        </is>
      </c>
      <c r="B22" s="11">
        <f>COUNTIF('Pedidos por título'!$B$3:$B$28,$A22)</f>
        <v>9.0</v>
      </c>
      <c r="C22" s="11">
        <f>SUMIF('Pedidos por título'!$B$3:$B$28,$A22,'Pedidos por título'!$D$3:$D$28)</f>
        <v>56.0</v>
      </c>
      <c r="D22" s="18">
        <f>SUMIF('Pedidos por título'!$B$3:$B$28,$A22,'Pedidos por título'!$G$3:$G$28)</f>
        <v>936.824</v>
      </c>
      <c r="E22" s="19">
        <f>IF($D$26=0,0,D22/$D$26)</f>
        <v>0.7218612879823731</v>
      </c>
      <c r="F22" s="20">
        <f>IF(B22=0,0,D22/B22)</f>
        <v>104.09155555555554</v>
      </c>
      <c r="G22" s="20">
        <f>IF(C22=0,0,D22/C22)</f>
        <v>16.729</v>
      </c>
    </row>
    <row r="23">
      <c r="A23" s="17" t="inlineStr">
        <is>
          <t>programação</t>
        </is>
      </c>
      <c r="B23" s="11">
        <f>COUNTIF('Pedidos por título'!$B$3:$B$28,$A23)</f>
        <v>10.0</v>
      </c>
      <c r="C23" s="11">
        <f>SUMIF('Pedidos por título'!$B$3:$B$28,$A23,'Pedidos por título'!$D$3:$D$28)</f>
        <v>34.0</v>
      </c>
      <c r="D23" s="18">
        <f>SUMIF('Pedidos por título'!$B$3:$B$28,$A23,'Pedidos por título'!$G$3:$G$28)</f>
        <v>319.788</v>
      </c>
      <c r="E23" s="19">
        <f>IF($D$26=0,0,D23/$D$26)</f>
        <v>0.2464097605967686</v>
      </c>
      <c r="F23" s="20">
        <f>IF(B23=0,0,D23/B23)</f>
        <v>31.9788</v>
      </c>
      <c r="G23" s="20">
        <f>IF(C23=0,0,D23/C23)</f>
        <v>9.405529411764705</v>
      </c>
    </row>
    <row r="24">
      <c r="A24" s="17" t="inlineStr">
        <is>
          <t>infantil/família</t>
        </is>
      </c>
      <c r="B24" s="11">
        <f>COUNTIF('Pedidos por título'!$B$3:$B$28,$A24)</f>
        <v>5.0</v>
      </c>
      <c r="C24" s="11">
        <f>SUMIF('Pedidos por título'!$B$3:$B$28,$A24,'Pedidos por título'!$D$3:$D$28)</f>
        <v>5.0</v>
      </c>
      <c r="D24" s="18">
        <f>SUMIF('Pedidos por título'!$B$3:$B$28,$A24,'Pedidos por título'!$G$3:$G$28)</f>
        <v>38.394999999999996</v>
      </c>
      <c r="E24" s="19">
        <f>IF($D$26=0,0,D24/$D$26)</f>
        <v>0.0295849211293511</v>
      </c>
      <c r="F24" s="20">
        <f>IF(B24=0,0,D24/B24)</f>
        <v>7.678999999999999</v>
      </c>
      <c r="G24" s="20">
        <f>IF(C24=0,0,D24/C24)</f>
        <v>7.678999999999999</v>
      </c>
    </row>
    <row r="25">
      <c r="A25" s="17" t="inlineStr">
        <is>
          <t>ficção</t>
        </is>
      </c>
      <c r="B25" s="11">
        <f>COUNTIF('Pedidos por título'!$B$3:$B$28,$A25)</f>
        <v>2.0</v>
      </c>
      <c r="C25" s="11">
        <f>SUMIF('Pedidos por título'!$B$3:$B$28,$A25,'Pedidos por título'!$D$3:$D$28)</f>
        <v>3.0</v>
      </c>
      <c r="D25" s="18">
        <f>SUMIF('Pedidos por título'!$B$3:$B$28,$A25,'Pedidos por título'!$G$3:$G$28)</f>
        <v>2.7824999999999998</v>
      </c>
      <c r="E25" s="19">
        <f>IF($D$26=0,0,D25/$D$26)</f>
        <v>0.002144030291507213</v>
      </c>
      <c r="F25" s="20">
        <f>IF(B25=0,0,D25/B25)</f>
        <v>1.3912499999999999</v>
      </c>
      <c r="G25" s="20">
        <f>IF(C25=0,0,D25/C25)</f>
        <v>0.9274999999999999</v>
      </c>
    </row>
    <row r="26">
      <c r="A26" s="21" t="inlineStr">
        <is>
          <t>Total</t>
        </is>
      </c>
      <c r="B26" s="22">
        <f>SUM(B22:B25)</f>
        <v>26.0</v>
      </c>
      <c r="C26" s="22">
        <f>SUM(C22:C25)</f>
        <v>98.0</v>
      </c>
      <c r="D26" s="23">
        <f>SUM(D22:D25)</f>
        <v>1297.7894999999999</v>
      </c>
      <c r="E26" s="24">
        <f>SUM(E22:E25)</f>
        <v>1.0</v>
      </c>
      <c r="F26" s="23">
        <f>IF(B26=0,0,D26/B26)</f>
        <v>49.914980769230766</v>
      </c>
      <c r="G26" s="23">
        <f>IF(C26=0,0,D26/C26)</f>
        <v>13.24275</v>
      </c>
      <c r="H26" s="2" t="str">
        <f>IF(ROUND(D26-'Pedidos por título'!G29,2)=0,"ok: soma igual à aba Pedidos","confira: há tema fora da lista")</f>
        <v>ok: soma igual à aba Pedidos</v>
      </c>
    </row>
    <row r="29">
      <c r="A29" s="3" t="inlineStr">
        <is>
          <t>Conferência da estimativa contra o dinheiro real</t>
        </is>
      </c>
      <c r="B29" s="4" t="n"/>
      <c r="C29" s="4" t="n"/>
      <c r="D29" s="4" t="n"/>
      <c r="E29" s="4" t="n"/>
      <c r="F29" s="4" t="n"/>
      <c r="G29" s="4" t="n"/>
    </row>
    <row r="30">
      <c r="A30" s="5" t="inlineStr">
        <is>
          <t>Royalty de ebook real em 2026 (jan a 23/out)</t>
        </is>
      </c>
      <c r="B30" s="7">
        <f>B6</f>
        <v>1276.81</v>
      </c>
      <c r="C30" s="2" t="inlineStr">
        <is>
          <t>Os períodos não são iguais: os pedidos incluem dez/2025 e o royalty real começa em jan/2026.</t>
        </is>
      </c>
    </row>
    <row r="31">
      <c r="A31" s="5" t="inlineStr">
        <is>
          <t>Royalty estimado pelos pedidos (dez/25 a 23/out)</t>
        </is>
      </c>
      <c r="B31" s="18">
        <f>D26</f>
        <v>1297.7894999999999</v>
      </c>
      <c r="C31" s="2" t="inlineStr">
        <is>
          <t>Diferença pequena indica que a estimativa por tema é confiável para comparar temas entre si.</t>
        </is>
      </c>
    </row>
    <row r="32">
      <c r="A32" s="5" t="inlineStr">
        <is>
          <t>Diferença (estimado menos real)</t>
        </is>
      </c>
      <c r="B32" s="20">
        <f>B31-B30</f>
        <v>20.979499999999916</v>
      </c>
    </row>
    <row r="33">
      <c r="A33" s="5" t="inlineStr">
        <is>
          <t>Diferença em %</t>
        </is>
      </c>
      <c r="B33" s="19">
        <f>IF(B30=0,0,B32/B30)</f>
        <v>0.016431183966290928</v>
      </c>
    </row>
    <row r="35">
      <c r="A35" s="3" t="inlineStr">
        <is>
          <t>Como ler</t>
        </is>
      </c>
      <c r="B35" s="4" t="n"/>
      <c r="C35" s="4" t="n"/>
      <c r="D35" s="4" t="n"/>
      <c r="E35" s="4" t="n"/>
      <c r="F35" s="4" t="n"/>
      <c r="G35" s="4" t="n"/>
    </row>
    <row r="36">
      <c r="A36" s="5" t="inlineStr">
        <is>
          <t>Total recebido = royalty de ebook + Kindle Unlimited já pago, só Amazon.com.br (BRL), de jan a 23/out/2026.</t>
        </is>
      </c>
    </row>
    <row r="37">
      <c r="A37" s="5" t="inlineStr">
        <is>
          <t>Kindle Unlimited de outubro está em páginas lidas porque ainda não foi pago: aparece em B11 e fica fora do total.</t>
        </is>
      </c>
    </row>
    <row r="38">
      <c r="A38" s="5" t="inlineStr">
        <is>
          <t>Outras lojas (USD, EUR, MXN, AUD) estão nas linhas 15 a 18, fora do total, na moeda original.</t>
        </is>
      </c>
    </row>
    <row r="39">
      <c r="A39" s="5" t="inlineStr">
        <is>
          <t>Por tema é ESTIMATIVA: usa o preço ATUAL de cada título (se o preço mudou no período, a conta muda) e a regra 70%/35%.</t>
        </is>
      </c>
    </row>
    <row r="40">
      <c r="A40" s="5" t="inlineStr">
        <is>
          <t>A regra de royalty está na aba 'Pedidos por título', células J3 a J5 (texto azul = valor digitado, pode alterar).</t>
        </is>
      </c>
    </row>
    <row r="41">
      <c r="A41" s="5" t="inlineStr">
        <is>
          <t>Cores: azul = dado digitado; verde = fórmula que puxa de outra aba; preto = fórmula; laranja = estimativa.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5" customWidth="1" min="4" max="4"/>
    <col width="15" customWidth="1" min="5" max="5"/>
    <col width="14" customWidth="1" min="6" max="6"/>
    <col width="34" customWidth="1" min="7" max="7"/>
  </cols>
  <sheetData>
    <row r="1" ht="42" customHeight="1">
      <c r="A1" s="12" t="inlineStr">
        <is>
          <t>Mês</t>
        </is>
      </c>
      <c r="B1" s="12" t="inlineStr">
        <is>
          <t>Código do mês</t>
        </is>
      </c>
      <c r="C1" s="12" t="inlineStr">
        <is>
          <t>Royalty ebook (R$)</t>
        </is>
      </c>
      <c r="D1" s="12" t="inlineStr">
        <is>
          <t>Kindle Unlimited pago (R$)</t>
        </is>
      </c>
      <c r="E1" s="12" t="inlineStr">
        <is>
          <t>Total do mês (R$)</t>
        </is>
      </c>
      <c r="F1" s="12" t="inlineStr">
        <is>
          <t>KU ainda não pago (páginas)</t>
        </is>
      </c>
      <c r="G1" s="12" t="inlineStr">
        <is>
          <t>Observação</t>
        </is>
      </c>
    </row>
    <row r="2">
      <c r="A2" s="17" t="inlineStr">
        <is>
          <t>jan/2026</t>
        </is>
      </c>
      <c r="B2" s="13" t="inlineStr">
        <is>
          <t>2026-01</t>
        </is>
      </c>
      <c r="C2" s="7">
        <f>SUMIFS('Dados royalties'!$D$3:$D$18,'Dados royalties'!$A$3:$A$18,$B2,'Dados royalties'!$C$3:$C$18,"BRL")</f>
        <v>6.82</v>
      </c>
      <c r="D2" s="7">
        <f>SUMIFS('Dados royalties'!$G$3:$G$18,'Dados royalties'!$A$3:$A$18,$B2,'Dados royalties'!$C$3:$C$18,"BRL")</f>
        <v>0.29</v>
      </c>
      <c r="E2" s="8">
        <f>C2+D2</f>
        <v>7.11</v>
      </c>
      <c r="F2" s="11">
        <f>SUMIFS('Dados royalties'!$H$3:$H$18,'Dados royalties'!$A$3:$A$18,$B2,'Dados royalties'!$C$3:$C$18,"BRL")</f>
        <v>0.0</v>
      </c>
      <c r="G2" s="25" t="n"/>
    </row>
    <row r="3">
      <c r="A3" s="17" t="inlineStr">
        <is>
          <t>fev/2026</t>
        </is>
      </c>
      <c r="B3" s="13" t="inlineStr">
        <is>
          <t>2026-02</t>
        </is>
      </c>
      <c r="C3" s="7">
        <f>SUMIFS('Dados royalties'!$D$3:$D$18,'Dados royalties'!$A$3:$A$18,$B3,'Dados royalties'!$C$3:$C$18,"BRL")</f>
        <v>20.76</v>
      </c>
      <c r="D3" s="7">
        <f>SUMIFS('Dados royalties'!$G$3:$G$18,'Dados royalties'!$A$3:$A$18,$B3,'Dados royalties'!$C$3:$C$18,"BRL")</f>
        <v>6.17</v>
      </c>
      <c r="E3" s="8">
        <f>C3+D3</f>
        <v>26.93</v>
      </c>
      <c r="F3" s="11">
        <f>SUMIFS('Dados royalties'!$H$3:$H$18,'Dados royalties'!$A$3:$A$18,$B3,'Dados royalties'!$C$3:$C$18,"BRL")</f>
        <v>0.0</v>
      </c>
      <c r="G3" s="25" t="n"/>
    </row>
    <row r="4">
      <c r="A4" s="17" t="inlineStr">
        <is>
          <t>mar/2026</t>
        </is>
      </c>
      <c r="B4" s="13" t="inlineStr">
        <is>
          <t>2026-03</t>
        </is>
      </c>
      <c r="C4" s="7">
        <f>SUMIFS('Dados royalties'!$D$3:$D$18,'Dados royalties'!$A$3:$A$18,$B4,'Dados royalties'!$C$3:$C$18,"BRL")</f>
        <v>20.64</v>
      </c>
      <c r="D4" s="7">
        <f>SUMIFS('Dados royalties'!$G$3:$G$18,'Dados royalties'!$A$3:$A$18,$B4,'Dados royalties'!$C$3:$C$18,"BRL")</f>
        <v>13.23</v>
      </c>
      <c r="E4" s="8">
        <f>C4+D4</f>
        <v>33.870000000000005</v>
      </c>
      <c r="F4" s="11">
        <f>SUMIFS('Dados royalties'!$H$3:$H$18,'Dados royalties'!$A$3:$A$18,$B4,'Dados royalties'!$C$3:$C$18,"BRL")</f>
        <v>0.0</v>
      </c>
      <c r="G4" s="25" t="n"/>
    </row>
    <row r="5">
      <c r="A5" s="17" t="inlineStr">
        <is>
          <t>abr/2026</t>
        </is>
      </c>
      <c r="B5" s="13" t="inlineStr">
        <is>
          <t>2026-04</t>
        </is>
      </c>
      <c r="C5" s="7">
        <f>SUMIFS('Dados royalties'!$D$3:$D$18,'Dados royalties'!$A$3:$A$18,$B5,'Dados royalties'!$C$3:$C$18,"BRL")</f>
        <v>6.9</v>
      </c>
      <c r="D5" s="7">
        <f>SUMIFS('Dados royalties'!$G$3:$G$18,'Dados royalties'!$A$3:$A$18,$B5,'Dados royalties'!$C$3:$C$18,"BRL")</f>
        <v>4.19</v>
      </c>
      <c r="E5" s="8">
        <f>C5+D5</f>
        <v>11.09</v>
      </c>
      <c r="F5" s="11">
        <f>SUMIFS('Dados royalties'!$H$3:$H$18,'Dados royalties'!$A$3:$A$18,$B5,'Dados royalties'!$C$3:$C$18,"BRL")</f>
        <v>0.0</v>
      </c>
      <c r="G5" s="25" t="n"/>
    </row>
    <row r="6">
      <c r="A6" s="17" t="inlineStr">
        <is>
          <t>mai/2026</t>
        </is>
      </c>
      <c r="B6" s="13" t="inlineStr">
        <is>
          <t>2026-05</t>
        </is>
      </c>
      <c r="C6" s="7">
        <f>SUMIFS('Dados royalties'!$D$3:$D$18,'Dados royalties'!$A$3:$A$18,$B6,'Dados royalties'!$C$3:$C$18,"BRL")</f>
        <v>90.41</v>
      </c>
      <c r="D6" s="7">
        <f>SUMIFS('Dados royalties'!$G$3:$G$18,'Dados royalties'!$A$3:$A$18,$B6,'Dados royalties'!$C$3:$C$18,"BRL")</f>
        <v>5.44</v>
      </c>
      <c r="E6" s="8">
        <f>C6+D6</f>
        <v>95.85</v>
      </c>
      <c r="F6" s="11">
        <f>SUMIFS('Dados royalties'!$H$3:$H$18,'Dados royalties'!$A$3:$A$18,$B6,'Dados royalties'!$C$3:$C$18,"BRL")</f>
        <v>0.0</v>
      </c>
      <c r="G6" s="25" t="n"/>
    </row>
    <row r="7">
      <c r="A7" s="17" t="inlineStr">
        <is>
          <t>jun/2026</t>
        </is>
      </c>
      <c r="B7" s="13" t="inlineStr">
        <is>
          <t>2026-06</t>
        </is>
      </c>
      <c r="C7" s="7">
        <f>SUMIFS('Dados royalties'!$D$3:$D$18,'Dados royalties'!$A$3:$A$18,$B7,'Dados royalties'!$C$3:$C$18,"BRL")</f>
        <v>371.69</v>
      </c>
      <c r="D7" s="7">
        <f>SUMIFS('Dados royalties'!$G$3:$G$18,'Dados royalties'!$A$3:$A$18,$B7,'Dados royalties'!$C$3:$C$18,"BRL")</f>
        <v>19.74</v>
      </c>
      <c r="E7" s="8">
        <f>C7+D7</f>
        <v>391.43</v>
      </c>
      <c r="F7" s="11">
        <f>SUMIFS('Dados royalties'!$H$3:$H$18,'Dados royalties'!$A$3:$A$18,$B7,'Dados royalties'!$C$3:$C$18,"BRL")</f>
        <v>0.0</v>
      </c>
      <c r="G7" s="25" t="n"/>
    </row>
    <row r="8">
      <c r="A8" s="17" t="inlineStr">
        <is>
          <t>jul/2026</t>
        </is>
      </c>
      <c r="B8" s="13" t="inlineStr">
        <is>
          <t>2026-07</t>
        </is>
      </c>
      <c r="C8" s="7">
        <f>SUMIFS('Dados royalties'!$D$3:$D$18,'Dados royalties'!$A$3:$A$18,$B8,'Dados royalties'!$C$3:$C$18,"BRL")</f>
        <v>191.21</v>
      </c>
      <c r="D8" s="7">
        <f>SUMIFS('Dados royalties'!$G$3:$G$18,'Dados royalties'!$A$3:$A$18,$B8,'Dados royalties'!$C$3:$C$18,"BRL")</f>
        <v>9.58</v>
      </c>
      <c r="E8" s="8">
        <f>C8+D8</f>
        <v>200.79000000000002</v>
      </c>
      <c r="F8" s="11">
        <f>SUMIFS('Dados royalties'!$H$3:$H$18,'Dados royalties'!$A$3:$A$18,$B8,'Dados royalties'!$C$3:$C$18,"BRL")</f>
        <v>0.0</v>
      </c>
      <c r="G8" s="25" t="n"/>
    </row>
    <row r="9">
      <c r="A9" s="17" t="inlineStr">
        <is>
          <t>ago/2026</t>
        </is>
      </c>
      <c r="B9" s="13" t="inlineStr">
        <is>
          <t>2026-08</t>
        </is>
      </c>
      <c r="C9" s="7">
        <f>SUMIFS('Dados royalties'!$D$3:$D$18,'Dados royalties'!$A$3:$A$18,$B9,'Dados royalties'!$C$3:$C$18,"BRL")</f>
        <v>43.82</v>
      </c>
      <c r="D9" s="7">
        <f>SUMIFS('Dados royalties'!$G$3:$G$18,'Dados royalties'!$A$3:$A$18,$B9,'Dados royalties'!$C$3:$C$18,"BRL")</f>
        <v>21.56</v>
      </c>
      <c r="E9" s="8">
        <f>C9+D9</f>
        <v>65.38</v>
      </c>
      <c r="F9" s="11">
        <f>SUMIFS('Dados royalties'!$H$3:$H$18,'Dados royalties'!$A$3:$A$18,$B9,'Dados royalties'!$C$3:$C$18,"BRL")</f>
        <v>0.0</v>
      </c>
      <c r="G9" s="25" t="n"/>
    </row>
    <row r="10">
      <c r="A10" s="17" t="inlineStr">
        <is>
          <t>set/2026</t>
        </is>
      </c>
      <c r="B10" s="13" t="inlineStr">
        <is>
          <t>2026-09</t>
        </is>
      </c>
      <c r="C10" s="7">
        <f>SUMIFS('Dados royalties'!$D$3:$D$18,'Dados royalties'!$A$3:$A$18,$B10,'Dados royalties'!$C$3:$C$18,"BRL")</f>
        <v>200.95</v>
      </c>
      <c r="D10" s="7">
        <f>SUMIFS('Dados royalties'!$G$3:$G$18,'Dados royalties'!$A$3:$A$18,$B10,'Dados royalties'!$C$3:$C$18,"BRL")</f>
        <v>10.18</v>
      </c>
      <c r="E10" s="8">
        <f>C10+D10</f>
        <v>211.13</v>
      </c>
      <c r="F10" s="11">
        <f>SUMIFS('Dados royalties'!$H$3:$H$18,'Dados royalties'!$A$3:$A$18,$B10,'Dados royalties'!$C$3:$C$18,"BRL")</f>
        <v>0.0</v>
      </c>
      <c r="G10" s="25" t="n"/>
    </row>
    <row r="11" ht="40" customHeight="1">
      <c r="A11" s="17" t="inlineStr">
        <is>
          <t>out/2026</t>
        </is>
      </c>
      <c r="B11" s="13" t="inlineStr">
        <is>
          <t>2026-10</t>
        </is>
      </c>
      <c r="C11" s="7">
        <f>SUMIFS('Dados royalties'!$D$3:$D$18,'Dados royalties'!$A$3:$A$18,$B11,'Dados royalties'!$C$3:$C$18,"BRL")</f>
        <v>323.61</v>
      </c>
      <c r="D11" s="7">
        <f>SUMIFS('Dados royalties'!$G$3:$G$18,'Dados royalties'!$A$3:$A$18,$B11,'Dados royalties'!$C$3:$C$18,"BRL")</f>
        <v>0.0</v>
      </c>
      <c r="E11" s="8">
        <f>C11+D11</f>
        <v>323.61</v>
      </c>
      <c r="F11" s="11">
        <f>SUMIFS('Dados royalties'!$H$3:$H$18,'Dados royalties'!$A$3:$A$18,$B11,'Dados royalties'!$C$3:$C$18,"BRL")</f>
        <v>584.0</v>
      </c>
      <c r="G11" s="26" t="inlineStr">
        <is>
          <t>Mês incompleto (dados até 23/out). KU em páginas, ainda não pago: fora do total.</t>
        </is>
      </c>
    </row>
    <row r="12">
      <c r="A12" s="21" t="inlineStr">
        <is>
          <t>Total 2026</t>
        </is>
      </c>
      <c r="B12" s="21" t="n"/>
      <c r="C12" s="23">
        <f>SUM(C2:C11)</f>
        <v>1276.81</v>
      </c>
      <c r="D12" s="23">
        <f>SUM(D2:D11)</f>
        <v>90.38</v>
      </c>
      <c r="E12" s="23">
        <f>SUM(E2:E11)</f>
        <v>1367.19</v>
      </c>
      <c r="F12" s="22">
        <f>SUM(F2:F11)</f>
        <v>584.0</v>
      </c>
      <c r="G12" s="21" t="n"/>
    </row>
    <row r="14">
      <c r="A14" s="2" t="inlineStr">
        <is>
          <t>Só Amazon.com.br (moeda BRL). Outras lojas ficam fora; o valor delas aparece no Resumo, separado.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7" customWidth="1" min="2" max="2"/>
    <col width="13" customWidth="1" min="3" max="3"/>
    <col width="15" customWidth="1" min="4" max="4"/>
    <col width="14" customWidth="1" min="5" max="5"/>
    <col width="16" customWidth="1" min="6" max="6"/>
    <col width="16" customWidth="1" min="7" max="7"/>
    <col width="3" customWidth="1" min="8" max="8"/>
    <col width="28" customWidth="1" min="9" max="9"/>
    <col width="11" customWidth="1" min="10" max="10"/>
  </cols>
  <sheetData>
    <row r="1">
      <c r="A1" s="2" t="inlineStr">
        <is>
          <t>Dados do anexo pedidos-por-titulo.csv (dez/2025 a 23/out/2026). Colunas E a G são ESTIMATIVA (preço atual x regra de royalty).</t>
        </is>
      </c>
    </row>
    <row r="2" ht="45" customHeight="1">
      <c r="A2" s="12" t="inlineStr">
        <is>
          <t>Título</t>
        </is>
      </c>
      <c r="B2" s="12" t="inlineStr">
        <is>
          <t>Tema</t>
        </is>
      </c>
      <c r="C2" s="12" t="inlineStr">
        <is>
          <t>Preço atual (R$)</t>
        </is>
      </c>
      <c r="D2" s="12" t="inlineStr">
        <is>
          <t>Pedidos dez/25 a 23/out/26</t>
        </is>
      </c>
      <c r="E2" s="12" t="inlineStr">
        <is>
          <t>% de royalty (ESTIMATIVA)</t>
        </is>
      </c>
      <c r="F2" s="12" t="inlineStr">
        <is>
          <t>Royalty por venda (R$) (ESTIMATIVA)</t>
        </is>
      </c>
      <c r="G2" s="12" t="inlineStr">
        <is>
          <t>Royalty estimado (R$) (ESTIMATIVA)</t>
        </is>
      </c>
      <c r="I2" s="3" t="inlineStr">
        <is>
          <t>Premissas (você informou; pode alterar)</t>
        </is>
      </c>
      <c r="J2" s="4" t="n"/>
    </row>
    <row r="3">
      <c r="A3" s="13" t="inlineStr">
        <is>
          <t>Agentes de IA com Python</t>
        </is>
      </c>
      <c r="B3" s="13" t="inlineStr">
        <is>
          <t>IA para dev</t>
        </is>
      </c>
      <c r="C3" s="27" t="n">
        <v>24.97</v>
      </c>
      <c r="D3" s="28" t="n">
        <v>12</v>
      </c>
      <c r="E3" s="19">
        <f>IF(C3&gt;=$J$3,$J$4,$J$5)</f>
        <v>0.7</v>
      </c>
      <c r="F3" s="20">
        <f>C3*E3</f>
        <v>17.479</v>
      </c>
      <c r="G3" s="20">
        <f>D3*F3</f>
        <v>209.748</v>
      </c>
      <c r="I3" s="5" t="inlineStr">
        <is>
          <t>Preço mínimo para 70% (R$)</t>
        </is>
      </c>
      <c r="J3" s="27" t="n">
        <v>5.99</v>
      </c>
    </row>
    <row r="4">
      <c r="A4" s="13" t="inlineStr">
        <is>
          <t>Spec Driven Development na Prática</t>
        </is>
      </c>
      <c r="B4" s="13" t="inlineStr">
        <is>
          <t>IA para dev</t>
        </is>
      </c>
      <c r="C4" s="27" t="n">
        <v>24.97</v>
      </c>
      <c r="D4" s="28" t="n">
        <v>11</v>
      </c>
      <c r="E4" s="19">
        <f>IF(C4&gt;=$J$3,$J$4,$J$5)</f>
        <v>0.7</v>
      </c>
      <c r="F4" s="20">
        <f>C4*E4</f>
        <v>17.479</v>
      </c>
      <c r="G4" s="20">
        <f>D4*F4</f>
        <v>192.269</v>
      </c>
      <c r="I4" s="5" t="inlineStr">
        <is>
          <t>Royalty a partir do mínimo</t>
        </is>
      </c>
      <c r="J4" s="29" t="n">
        <v>0.7</v>
      </c>
    </row>
    <row r="5">
      <c r="A5" s="13" t="inlineStr">
        <is>
          <t>Claude Code na Prática</t>
        </is>
      </c>
      <c r="B5" s="13" t="inlineStr">
        <is>
          <t>IA para dev</t>
        </is>
      </c>
      <c r="C5" s="27" t="n">
        <v>24.97</v>
      </c>
      <c r="D5" s="28" t="n">
        <v>10</v>
      </c>
      <c r="E5" s="19">
        <f>IF(C5&gt;=$J$3,$J$4,$J$5)</f>
        <v>0.7</v>
      </c>
      <c r="F5" s="20">
        <f>C5*E5</f>
        <v>17.479</v>
      </c>
      <c r="G5" s="20">
        <f>D5*F5</f>
        <v>174.79</v>
      </c>
      <c r="I5" s="5" t="inlineStr">
        <is>
          <t>Royalty abaixo do mínimo</t>
        </is>
      </c>
      <c r="J5" s="29" t="n">
        <v>0.35</v>
      </c>
    </row>
    <row r="6">
      <c r="A6" s="13" t="inlineStr">
        <is>
          <t>MCP na Prática com Python</t>
        </is>
      </c>
      <c r="B6" s="13" t="inlineStr">
        <is>
          <t>IA para dev</t>
        </is>
      </c>
      <c r="C6" s="27" t="n">
        <v>24.97</v>
      </c>
      <c r="D6" s="28" t="n">
        <v>9</v>
      </c>
      <c r="E6" s="19">
        <f>IF(C6&gt;=$J$3,$J$4,$J$5)</f>
        <v>0.7</v>
      </c>
      <c r="F6" s="20">
        <f>C6*E6</f>
        <v>17.479</v>
      </c>
      <c r="G6" s="20">
        <f>D6*F6</f>
        <v>157.31099999999998</v>
      </c>
    </row>
    <row r="7">
      <c r="A7" s="13" t="inlineStr">
        <is>
          <t>Programação para Iniciantes Absolutos</t>
        </is>
      </c>
      <c r="B7" s="13" t="inlineStr">
        <is>
          <t>programação</t>
        </is>
      </c>
      <c r="C7" s="27" t="n">
        <v>9.970000000000001</v>
      </c>
      <c r="D7" s="28" t="n">
        <v>8</v>
      </c>
      <c r="E7" s="19">
        <f>IF(C7&gt;=$J$3,$J$4,$J$5)</f>
        <v>0.7</v>
      </c>
      <c r="F7" s="20">
        <f>C7*E7</f>
        <v>6.979</v>
      </c>
      <c r="G7" s="20">
        <f>D7*F7</f>
        <v>55.832</v>
      </c>
    </row>
    <row r="8">
      <c r="A8" s="13" t="inlineStr">
        <is>
          <t>Git sem Mistério</t>
        </is>
      </c>
      <c r="B8" s="13" t="inlineStr">
        <is>
          <t>programação</t>
        </is>
      </c>
      <c r="C8" s="27" t="n">
        <v>9.970000000000001</v>
      </c>
      <c r="D8" s="28" t="n">
        <v>7</v>
      </c>
      <c r="E8" s="19">
        <f>IF(C8&gt;=$J$3,$J$4,$J$5)</f>
        <v>0.7</v>
      </c>
      <c r="F8" s="20">
        <f>C8*E8</f>
        <v>6.979</v>
      </c>
      <c r="G8" s="20">
        <f>D8*F8</f>
        <v>48.853</v>
      </c>
    </row>
    <row r="9">
      <c r="A9" s="13" t="inlineStr">
        <is>
          <t>Context Engineering</t>
        </is>
      </c>
      <c r="B9" s="13" t="inlineStr">
        <is>
          <t>IA para dev</t>
        </is>
      </c>
      <c r="C9" s="27" t="n">
        <v>24.97</v>
      </c>
      <c r="D9" s="28" t="n">
        <v>6</v>
      </c>
      <c r="E9" s="19">
        <f>IF(C9&gt;=$J$3,$J$4,$J$5)</f>
        <v>0.7</v>
      </c>
      <c r="F9" s="20">
        <f>C9*E9</f>
        <v>17.479</v>
      </c>
      <c r="G9" s="20">
        <f>D9*F9</f>
        <v>104.874</v>
      </c>
    </row>
    <row r="10">
      <c r="A10" s="13" t="inlineStr">
        <is>
          <t>Lógica de Programação na Prática</t>
        </is>
      </c>
      <c r="B10" s="13" t="inlineStr">
        <is>
          <t>programação</t>
        </is>
      </c>
      <c r="C10" s="27" t="n">
        <v>9.970000000000001</v>
      </c>
      <c r="D10" s="28" t="n">
        <v>6</v>
      </c>
      <c r="E10" s="19">
        <f>IF(C10&gt;=$J$3,$J$4,$J$5)</f>
        <v>0.7</v>
      </c>
      <c r="F10" s="20">
        <f>C10*E10</f>
        <v>6.979</v>
      </c>
      <c r="G10" s="20">
        <f>D10*F10</f>
        <v>41.874</v>
      </c>
    </row>
    <row r="11">
      <c r="A11" s="13" t="inlineStr">
        <is>
          <t>ChatGPT 2026</t>
        </is>
      </c>
      <c r="B11" s="13" t="inlineStr">
        <is>
          <t>IA para dev</t>
        </is>
      </c>
      <c r="C11" s="27" t="n">
        <v>9.970000000000001</v>
      </c>
      <c r="D11" s="28" t="n">
        <v>4</v>
      </c>
      <c r="E11" s="19">
        <f>IF(C11&gt;=$J$3,$J$4,$J$5)</f>
        <v>0.7</v>
      </c>
      <c r="F11" s="20">
        <f>C11*E11</f>
        <v>6.979</v>
      </c>
      <c r="G11" s="20">
        <f>D11*F11</f>
        <v>27.916</v>
      </c>
    </row>
    <row r="12">
      <c r="A12" s="13" t="inlineStr">
        <is>
          <t>TDD na Prática com Python</t>
        </is>
      </c>
      <c r="B12" s="13" t="inlineStr">
        <is>
          <t>programação</t>
        </is>
      </c>
      <c r="C12" s="27" t="n">
        <v>9.970000000000001</v>
      </c>
      <c r="D12" s="28" t="n">
        <v>3</v>
      </c>
      <c r="E12" s="19">
        <f>IF(C12&gt;=$J$3,$J$4,$J$5)</f>
        <v>0.7</v>
      </c>
      <c r="F12" s="20">
        <f>C12*E12</f>
        <v>6.979</v>
      </c>
      <c r="G12" s="20">
        <f>D12*F12</f>
        <v>20.937</v>
      </c>
    </row>
    <row r="13">
      <c r="A13" s="13" t="inlineStr">
        <is>
          <t>TypeScript na Prática</t>
        </is>
      </c>
      <c r="B13" s="13" t="inlineStr">
        <is>
          <t>programação</t>
        </is>
      </c>
      <c r="C13" s="27" t="n">
        <v>24.97</v>
      </c>
      <c r="D13" s="28" t="n">
        <v>2</v>
      </c>
      <c r="E13" s="19">
        <f>IF(C13&gt;=$J$3,$J$4,$J$5)</f>
        <v>0.7</v>
      </c>
      <c r="F13" s="20">
        <f>C13*E13</f>
        <v>17.479</v>
      </c>
      <c r="G13" s="20">
        <f>D13*F13</f>
        <v>34.958</v>
      </c>
    </row>
    <row r="14">
      <c r="A14" s="13" t="inlineStr">
        <is>
          <t>JavaScript na Prática</t>
        </is>
      </c>
      <c r="B14" s="13" t="inlineStr">
        <is>
          <t>programação</t>
        </is>
      </c>
      <c r="C14" s="27" t="n">
        <v>24.97</v>
      </c>
      <c r="D14" s="28" t="n">
        <v>2</v>
      </c>
      <c r="E14" s="19">
        <f>IF(C14&gt;=$J$3,$J$4,$J$5)</f>
        <v>0.7</v>
      </c>
      <c r="F14" s="20">
        <f>C14*E14</f>
        <v>17.479</v>
      </c>
      <c r="G14" s="20">
        <f>D14*F14</f>
        <v>34.958</v>
      </c>
    </row>
    <row r="15">
      <c r="A15" s="13" t="inlineStr">
        <is>
          <t>Corte de Sangue</t>
        </is>
      </c>
      <c r="B15" s="13" t="inlineStr">
        <is>
          <t>ficção</t>
        </is>
      </c>
      <c r="C15" s="27" t="n">
        <v>1.99</v>
      </c>
      <c r="D15" s="28" t="n">
        <v>2</v>
      </c>
      <c r="E15" s="19">
        <f>IF(C15&gt;=$J$3,$J$4,$J$5)</f>
        <v>0.35</v>
      </c>
      <c r="F15" s="20">
        <f>C15*E15</f>
        <v>0.6965</v>
      </c>
      <c r="G15" s="20">
        <f>D15*F15</f>
        <v>1.393</v>
      </c>
    </row>
    <row r="16">
      <c r="A16" s="13" t="inlineStr">
        <is>
          <t>Go na Prática</t>
        </is>
      </c>
      <c r="B16" s="13" t="inlineStr">
        <is>
          <t>programação</t>
        </is>
      </c>
      <c r="C16" s="27" t="n">
        <v>19.9</v>
      </c>
      <c r="D16" s="28" t="n">
        <v>2</v>
      </c>
      <c r="E16" s="19">
        <f>IF(C16&gt;=$J$3,$J$4,$J$5)</f>
        <v>0.7</v>
      </c>
      <c r="F16" s="20">
        <f>C16*E16</f>
        <v>13.929999999999998</v>
      </c>
      <c r="G16" s="20">
        <f>D16*F16</f>
        <v>27.859999999999996</v>
      </c>
    </row>
    <row r="17">
      <c r="A17" s="13" t="inlineStr">
        <is>
          <t>SQL na Prática com PostgreSQL</t>
        </is>
      </c>
      <c r="B17" s="13" t="inlineStr">
        <is>
          <t>programação</t>
        </is>
      </c>
      <c r="C17" s="27" t="n">
        <v>24.97</v>
      </c>
      <c r="D17" s="28" t="n">
        <v>2</v>
      </c>
      <c r="E17" s="19">
        <f>IF(C17&gt;=$J$3,$J$4,$J$5)</f>
        <v>0.7</v>
      </c>
      <c r="F17" s="20">
        <f>C17*E17</f>
        <v>17.479</v>
      </c>
      <c r="G17" s="20">
        <f>D17*F17</f>
        <v>34.958</v>
      </c>
    </row>
    <row r="18">
      <c r="A18" s="13" t="inlineStr">
        <is>
          <t>Prompt Context Engineering</t>
        </is>
      </c>
      <c r="B18" s="13" t="inlineStr">
        <is>
          <t>IA para dev</t>
        </is>
      </c>
      <c r="C18" s="27" t="n">
        <v>24.97</v>
      </c>
      <c r="D18" s="28" t="n">
        <v>2</v>
      </c>
      <c r="E18" s="19">
        <f>IF(C18&gt;=$J$3,$J$4,$J$5)</f>
        <v>0.7</v>
      </c>
      <c r="F18" s="20">
        <f>C18*E18</f>
        <v>17.479</v>
      </c>
      <c r="G18" s="20">
        <f>D18*F18</f>
        <v>34.958</v>
      </c>
    </row>
    <row r="19">
      <c r="A19" s="13" t="inlineStr">
        <is>
          <t>Livro infantil: parar de fazer birra</t>
        </is>
      </c>
      <c r="B19" s="13" t="inlineStr">
        <is>
          <t>infantil/família</t>
        </is>
      </c>
      <c r="C19" s="27" t="n">
        <v>9.970000000000001</v>
      </c>
      <c r="D19" s="28" t="n">
        <v>1</v>
      </c>
      <c r="E19" s="19">
        <f>IF(C19&gt;=$J$3,$J$4,$J$5)</f>
        <v>0.7</v>
      </c>
      <c r="F19" s="20">
        <f>C19*E19</f>
        <v>6.979</v>
      </c>
      <c r="G19" s="20">
        <f>D19*F19</f>
        <v>6.979</v>
      </c>
    </row>
    <row r="20">
      <c r="A20" s="13" t="inlineStr">
        <is>
          <t>Livro infantil: controlar a raiva</t>
        </is>
      </c>
      <c r="B20" s="13" t="inlineStr">
        <is>
          <t>infantil/família</t>
        </is>
      </c>
      <c r="C20" s="27" t="n">
        <v>9.970000000000001</v>
      </c>
      <c r="D20" s="28" t="n">
        <v>1</v>
      </c>
      <c r="E20" s="19">
        <f>IF(C20&gt;=$J$3,$J$4,$J$5)</f>
        <v>0.7</v>
      </c>
      <c r="F20" s="20">
        <f>C20*E20</f>
        <v>6.979</v>
      </c>
      <c r="G20" s="20">
        <f>D20*F20</f>
        <v>6.979</v>
      </c>
    </row>
    <row r="21">
      <c r="A21" s="13" t="inlineStr">
        <is>
          <t>Livro infantil: aprender a esperar</t>
        </is>
      </c>
      <c r="B21" s="13" t="inlineStr">
        <is>
          <t>infantil/família</t>
        </is>
      </c>
      <c r="C21" s="27" t="n">
        <v>9.970000000000001</v>
      </c>
      <c r="D21" s="28" t="n">
        <v>1</v>
      </c>
      <c r="E21" s="19">
        <f>IF(C21&gt;=$J$3,$J$4,$J$5)</f>
        <v>0.7</v>
      </c>
      <c r="F21" s="20">
        <f>C21*E21</f>
        <v>6.979</v>
      </c>
      <c r="G21" s="20">
        <f>D21*F21</f>
        <v>6.979</v>
      </c>
    </row>
    <row r="22">
      <c r="A22" s="13" t="inlineStr">
        <is>
          <t>JavaScript Sem Mistério</t>
        </is>
      </c>
      <c r="B22" s="13" t="inlineStr">
        <is>
          <t>programação</t>
        </is>
      </c>
      <c r="C22" s="27" t="n">
        <v>9.970000000000001</v>
      </c>
      <c r="D22" s="28" t="n">
        <v>1</v>
      </c>
      <c r="E22" s="19">
        <f>IF(C22&gt;=$J$3,$J$4,$J$5)</f>
        <v>0.7</v>
      </c>
      <c r="F22" s="20">
        <f>C22*E22</f>
        <v>6.979</v>
      </c>
      <c r="G22" s="20">
        <f>D22*F22</f>
        <v>6.979</v>
      </c>
    </row>
    <row r="23">
      <c r="A23" s="13" t="inlineStr">
        <is>
          <t>O Andar que Não Existe (Arquivo Morto 1)</t>
        </is>
      </c>
      <c r="B23" s="13" t="inlineStr">
        <is>
          <t>ficção</t>
        </is>
      </c>
      <c r="C23" s="27" t="n">
        <v>3.97</v>
      </c>
      <c r="D23" s="28" t="n">
        <v>1</v>
      </c>
      <c r="E23" s="19">
        <f>IF(C23&gt;=$J$3,$J$4,$J$5)</f>
        <v>0.35</v>
      </c>
      <c r="F23" s="20">
        <f>C23*E23</f>
        <v>1.3895</v>
      </c>
      <c r="G23" s="20">
        <f>D23*F23</f>
        <v>1.3895</v>
      </c>
    </row>
    <row r="24">
      <c r="A24" s="13" t="inlineStr">
        <is>
          <t>Fluência em Código</t>
        </is>
      </c>
      <c r="B24" s="13" t="inlineStr">
        <is>
          <t>programação</t>
        </is>
      </c>
      <c r="C24" s="27" t="n">
        <v>17.97</v>
      </c>
      <c r="D24" s="28" t="n">
        <v>1</v>
      </c>
      <c r="E24" s="19">
        <f>IF(C24&gt;=$J$3,$J$4,$J$5)</f>
        <v>0.7</v>
      </c>
      <c r="F24" s="20">
        <f>C24*E24</f>
        <v>12.578999999999999</v>
      </c>
      <c r="G24" s="20">
        <f>D24*F24</f>
        <v>12.578999999999999</v>
      </c>
    </row>
    <row r="25">
      <c r="A25" s="13" t="inlineStr">
        <is>
          <t>AI Engineer</t>
        </is>
      </c>
      <c r="B25" s="13" t="inlineStr">
        <is>
          <t>IA para dev</t>
        </is>
      </c>
      <c r="C25" s="27" t="n">
        <v>24.97</v>
      </c>
      <c r="D25" s="28" t="n">
        <v>1</v>
      </c>
      <c r="E25" s="19">
        <f>IF(C25&gt;=$J$3,$J$4,$J$5)</f>
        <v>0.7</v>
      </c>
      <c r="F25" s="20">
        <f>C25*E25</f>
        <v>17.479</v>
      </c>
      <c r="G25" s="20">
        <f>D25*F25</f>
        <v>17.479</v>
      </c>
    </row>
    <row r="26">
      <c r="A26" s="13" t="inlineStr">
        <is>
          <t>Perdendo o Medo</t>
        </is>
      </c>
      <c r="B26" s="13" t="inlineStr">
        <is>
          <t>infantil/família</t>
        </is>
      </c>
      <c r="C26" s="27" t="n">
        <v>9.970000000000001</v>
      </c>
      <c r="D26" s="28" t="n">
        <v>1</v>
      </c>
      <c r="E26" s="19">
        <f>IF(C26&gt;=$J$3,$J$4,$J$5)</f>
        <v>0.7</v>
      </c>
      <c r="F26" s="20">
        <f>C26*E26</f>
        <v>6.979</v>
      </c>
      <c r="G26" s="20">
        <f>D26*F26</f>
        <v>6.979</v>
      </c>
    </row>
    <row r="27">
      <c r="A27" s="13" t="inlineStr">
        <is>
          <t>Criação Respeitosa</t>
        </is>
      </c>
      <c r="B27" s="13" t="inlineStr">
        <is>
          <t>infantil/família</t>
        </is>
      </c>
      <c r="C27" s="27" t="n">
        <v>14.97</v>
      </c>
      <c r="D27" s="28" t="n">
        <v>1</v>
      </c>
      <c r="E27" s="19">
        <f>IF(C27&gt;=$J$3,$J$4,$J$5)</f>
        <v>0.7</v>
      </c>
      <c r="F27" s="20">
        <f>C27*E27</f>
        <v>10.479</v>
      </c>
      <c r="G27" s="20">
        <f>D27*F27</f>
        <v>10.479</v>
      </c>
    </row>
    <row r="28">
      <c r="A28" s="13" t="inlineStr">
        <is>
          <t>Harness Engineering na Prática com Python</t>
        </is>
      </c>
      <c r="B28" s="13" t="inlineStr">
        <is>
          <t>IA para dev</t>
        </is>
      </c>
      <c r="C28" s="27" t="n">
        <v>24.97</v>
      </c>
      <c r="D28" s="28" t="n">
        <v>1</v>
      </c>
      <c r="E28" s="19">
        <f>IF(C28&gt;=$J$3,$J$4,$J$5)</f>
        <v>0.7</v>
      </c>
      <c r="F28" s="20">
        <f>C28*E28</f>
        <v>17.479</v>
      </c>
      <c r="G28" s="20">
        <f>D28*F28</f>
        <v>17.479</v>
      </c>
    </row>
    <row r="29">
      <c r="A29" s="21" t="inlineStr">
        <is>
          <t>Total</t>
        </is>
      </c>
      <c r="B29" s="30" t="n"/>
      <c r="C29" s="30" t="n"/>
      <c r="D29" s="22">
        <f>SUM(D3:D28)</f>
        <v>98.0</v>
      </c>
      <c r="E29" s="30" t="n"/>
      <c r="F29" s="30" t="n"/>
      <c r="G29" s="23">
        <f>SUM(G3:G28)</f>
        <v>1297.7894999999999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22" customWidth="1" min="5" max="5"/>
    <col width="11" customWidth="1" min="6" max="6"/>
    <col width="14" customWidth="1" min="7" max="7"/>
    <col width="14" customWidth="1" min="8" max="8"/>
  </cols>
  <sheetData>
    <row r="1">
      <c r="A1" s="2" t="inlineStr">
        <is>
          <t>Dados brutos do anexo royalties-por-mes.csv (colunas A a F copiadas como vieram; G e H são fórmulas)</t>
        </is>
      </c>
    </row>
    <row r="2" ht="42" customHeight="1">
      <c r="A2" s="12" t="inlineStr">
        <is>
          <t>Mês</t>
        </is>
      </c>
      <c r="B2" s="12" t="inlineStr">
        <is>
          <t>Loja</t>
        </is>
      </c>
      <c r="C2" s="12" t="inlineStr">
        <is>
          <t>Moeda</t>
        </is>
      </c>
      <c r="D2" s="12" t="inlineStr">
        <is>
          <t>Royalty ebook</t>
        </is>
      </c>
      <c r="E2" s="12" t="inlineStr">
        <is>
          <t>Kindle Unlimited (dinheiro ou páginas)</t>
        </is>
      </c>
      <c r="F2" s="12" t="inlineStr">
        <is>
          <t>KU já pago?</t>
        </is>
      </c>
      <c r="G2" s="12" t="inlineStr">
        <is>
          <t>KU pago em dinheiro</t>
        </is>
      </c>
      <c r="H2" s="12" t="inlineStr">
        <is>
          <t>KU pendente (páginas)</t>
        </is>
      </c>
    </row>
    <row r="3">
      <c r="A3" s="13" t="inlineStr">
        <is>
          <t>2026-01</t>
        </is>
      </c>
      <c r="B3" s="13" t="inlineStr">
        <is>
          <t>Amazon.com.br</t>
        </is>
      </c>
      <c r="C3" s="13" t="inlineStr">
        <is>
          <t>BRL</t>
        </is>
      </c>
      <c r="D3" s="31" t="n">
        <v>6.82</v>
      </c>
      <c r="E3" s="31" t="n">
        <v>0.29</v>
      </c>
      <c r="F3" s="13" t="b">
        <v>1</v>
      </c>
      <c r="G3" s="32">
        <f>IF(AND(F3=TRUE,ISNUMBER(E3)),E3,0)</f>
        <v>0.29</v>
      </c>
      <c r="H3" s="33">
        <f>IF(ISNUMBER(E3),0,VALUE(LEFT(E3,FIND(" ",E3)-1)))</f>
        <v>0.0</v>
      </c>
    </row>
    <row r="4">
      <c r="A4" s="13" t="inlineStr">
        <is>
          <t>2026-02</t>
        </is>
      </c>
      <c r="B4" s="13" t="inlineStr">
        <is>
          <t>Amazon.com.br</t>
        </is>
      </c>
      <c r="C4" s="13" t="inlineStr">
        <is>
          <t>BRL</t>
        </is>
      </c>
      <c r="D4" s="31" t="n">
        <v>20.76</v>
      </c>
      <c r="E4" s="31" t="n">
        <v>6.17</v>
      </c>
      <c r="F4" s="13" t="b">
        <v>1</v>
      </c>
      <c r="G4" s="32">
        <f>IF(AND(F4=TRUE,ISNUMBER(E4)),E4,0)</f>
        <v>6.17</v>
      </c>
      <c r="H4" s="33">
        <f>IF(ISNUMBER(E4),0,VALUE(LEFT(E4,FIND(" ",E4)-1)))</f>
        <v>0.0</v>
      </c>
    </row>
    <row r="5">
      <c r="A5" s="13" t="inlineStr">
        <is>
          <t>2026-03</t>
        </is>
      </c>
      <c r="B5" s="13" t="inlineStr">
        <is>
          <t>Amazon.com.br</t>
        </is>
      </c>
      <c r="C5" s="13" t="inlineStr">
        <is>
          <t>BRL</t>
        </is>
      </c>
      <c r="D5" s="31" t="n">
        <v>20.64</v>
      </c>
      <c r="E5" s="31" t="n">
        <v>13.23</v>
      </c>
      <c r="F5" s="13" t="b">
        <v>1</v>
      </c>
      <c r="G5" s="32">
        <f>IF(AND(F5=TRUE,ISNUMBER(E5)),E5,0)</f>
        <v>13.23</v>
      </c>
      <c r="H5" s="33">
        <f>IF(ISNUMBER(E5),0,VALUE(LEFT(E5,FIND(" ",E5)-1)))</f>
        <v>0.0</v>
      </c>
    </row>
    <row r="6">
      <c r="A6" s="13" t="inlineStr">
        <is>
          <t>2026-04</t>
        </is>
      </c>
      <c r="B6" s="13" t="inlineStr">
        <is>
          <t>Amazon.com.br</t>
        </is>
      </c>
      <c r="C6" s="13" t="inlineStr">
        <is>
          <t>BRL</t>
        </is>
      </c>
      <c r="D6" s="31" t="n">
        <v>6.9</v>
      </c>
      <c r="E6" s="31" t="n">
        <v>4.19</v>
      </c>
      <c r="F6" s="13" t="b">
        <v>1</v>
      </c>
      <c r="G6" s="32">
        <f>IF(AND(F6=TRUE,ISNUMBER(E6)),E6,0)</f>
        <v>4.19</v>
      </c>
      <c r="H6" s="33">
        <f>IF(ISNUMBER(E6),0,VALUE(LEFT(E6,FIND(" ",E6)-1)))</f>
        <v>0.0</v>
      </c>
    </row>
    <row r="7">
      <c r="A7" s="13" t="inlineStr">
        <is>
          <t>2026-05</t>
        </is>
      </c>
      <c r="B7" s="13" t="inlineStr">
        <is>
          <t>Amazon.com.br</t>
        </is>
      </c>
      <c r="C7" s="13" t="inlineStr">
        <is>
          <t>BRL</t>
        </is>
      </c>
      <c r="D7" s="31" t="n">
        <v>90.41</v>
      </c>
      <c r="E7" s="31" t="n">
        <v>5.44</v>
      </c>
      <c r="F7" s="13" t="b">
        <v>1</v>
      </c>
      <c r="G7" s="32">
        <f>IF(AND(F7=TRUE,ISNUMBER(E7)),E7,0)</f>
        <v>5.44</v>
      </c>
      <c r="H7" s="33">
        <f>IF(ISNUMBER(E7),0,VALUE(LEFT(E7,FIND(" ",E7)-1)))</f>
        <v>0.0</v>
      </c>
    </row>
    <row r="8">
      <c r="A8" s="13" t="inlineStr">
        <is>
          <t>2026-06</t>
        </is>
      </c>
      <c r="B8" s="13" t="inlineStr">
        <is>
          <t>Amazon.com</t>
        </is>
      </c>
      <c r="C8" s="13" t="inlineStr">
        <is>
          <t>USD</t>
        </is>
      </c>
      <c r="D8" s="31" t="n">
        <v>1.35</v>
      </c>
      <c r="E8" s="31" t="n">
        <v>0</v>
      </c>
      <c r="F8" s="13" t="b">
        <v>1</v>
      </c>
      <c r="G8" s="32">
        <f>IF(AND(F8=TRUE,ISNUMBER(E8)),E8,0)</f>
        <v>0.0</v>
      </c>
      <c r="H8" s="33">
        <f>IF(ISNUMBER(E8),0,VALUE(LEFT(E8,FIND(" ",E8)-1)))</f>
        <v>0.0</v>
      </c>
    </row>
    <row r="9">
      <c r="A9" s="13" t="inlineStr">
        <is>
          <t>2026-06</t>
        </is>
      </c>
      <c r="B9" s="13" t="inlineStr">
        <is>
          <t>Amazon.com.br</t>
        </is>
      </c>
      <c r="C9" s="13" t="inlineStr">
        <is>
          <t>BRL</t>
        </is>
      </c>
      <c r="D9" s="31" t="n">
        <v>371.69</v>
      </c>
      <c r="E9" s="31" t="n">
        <v>19.74</v>
      </c>
      <c r="F9" s="13" t="b">
        <v>1</v>
      </c>
      <c r="G9" s="32">
        <f>IF(AND(F9=TRUE,ISNUMBER(E9)),E9,0)</f>
        <v>19.74</v>
      </c>
      <c r="H9" s="33">
        <f>IF(ISNUMBER(E9),0,VALUE(LEFT(E9,FIND(" ",E9)-1)))</f>
        <v>0.0</v>
      </c>
    </row>
    <row r="10">
      <c r="A10" s="13" t="inlineStr">
        <is>
          <t>2026-06</t>
        </is>
      </c>
      <c r="B10" s="13" t="inlineStr">
        <is>
          <t>Amazon.com.mx</t>
        </is>
      </c>
      <c r="C10" s="13" t="inlineStr">
        <is>
          <t>MXN</t>
        </is>
      </c>
      <c r="D10" s="31" t="n">
        <v>0</v>
      </c>
      <c r="E10" s="31" t="n">
        <v>0.48</v>
      </c>
      <c r="F10" s="13" t="b">
        <v>1</v>
      </c>
      <c r="G10" s="32">
        <f>IF(AND(F10=TRUE,ISNUMBER(E10)),E10,0)</f>
        <v>0.48</v>
      </c>
      <c r="H10" s="33">
        <f>IF(ISNUMBER(E10),0,VALUE(LEFT(E10,FIND(" ",E10)-1)))</f>
        <v>0.0</v>
      </c>
    </row>
    <row r="11">
      <c r="A11" s="13" t="inlineStr">
        <is>
          <t>2026-07</t>
        </is>
      </c>
      <c r="B11" s="13" t="inlineStr">
        <is>
          <t>Amazon.com</t>
        </is>
      </c>
      <c r="C11" s="13" t="inlineStr">
        <is>
          <t>USD</t>
        </is>
      </c>
      <c r="D11" s="31" t="n">
        <v>0</v>
      </c>
      <c r="E11" s="31" t="n">
        <v>0</v>
      </c>
      <c r="F11" s="13" t="b">
        <v>1</v>
      </c>
      <c r="G11" s="32">
        <f>IF(AND(F11=TRUE,ISNUMBER(E11)),E11,0)</f>
        <v>0.0</v>
      </c>
      <c r="H11" s="33">
        <f>IF(ISNUMBER(E11),0,VALUE(LEFT(E11,FIND(" ",E11)-1)))</f>
        <v>0.0</v>
      </c>
    </row>
    <row r="12">
      <c r="A12" s="13" t="inlineStr">
        <is>
          <t>2026-07</t>
        </is>
      </c>
      <c r="B12" s="13" t="inlineStr">
        <is>
          <t>Amazon.com.br</t>
        </is>
      </c>
      <c r="C12" s="13" t="inlineStr">
        <is>
          <t>BRL</t>
        </is>
      </c>
      <c r="D12" s="31" t="n">
        <v>191.21</v>
      </c>
      <c r="E12" s="31" t="n">
        <v>9.58</v>
      </c>
      <c r="F12" s="13" t="b">
        <v>1</v>
      </c>
      <c r="G12" s="32">
        <f>IF(AND(F12=TRUE,ISNUMBER(E12)),E12,0)</f>
        <v>9.58</v>
      </c>
      <c r="H12" s="33">
        <f>IF(ISNUMBER(E12),0,VALUE(LEFT(E12,FIND(" ",E12)-1)))</f>
        <v>0.0</v>
      </c>
    </row>
    <row r="13">
      <c r="A13" s="13" t="inlineStr">
        <is>
          <t>2026-08</t>
        </is>
      </c>
      <c r="B13" s="13" t="inlineStr">
        <is>
          <t>Amazon.com.br</t>
        </is>
      </c>
      <c r="C13" s="13" t="inlineStr">
        <is>
          <t>BRL</t>
        </is>
      </c>
      <c r="D13" s="31" t="n">
        <v>43.82</v>
      </c>
      <c r="E13" s="31" t="n">
        <v>21.56</v>
      </c>
      <c r="F13" s="13" t="b">
        <v>1</v>
      </c>
      <c r="G13" s="32">
        <f>IF(AND(F13=TRUE,ISNUMBER(E13)),E13,0)</f>
        <v>21.56</v>
      </c>
      <c r="H13" s="33">
        <f>IF(ISNUMBER(E13),0,VALUE(LEFT(E13,FIND(" ",E13)-1)))</f>
        <v>0.0</v>
      </c>
    </row>
    <row r="14">
      <c r="A14" s="13" t="inlineStr">
        <is>
          <t>2026-08</t>
        </is>
      </c>
      <c r="B14" s="13" t="inlineStr">
        <is>
          <t>Amazon.it</t>
        </is>
      </c>
      <c r="C14" s="13" t="inlineStr">
        <is>
          <t>EUR</t>
        </is>
      </c>
      <c r="D14" s="31" t="n">
        <v>1.43</v>
      </c>
      <c r="E14" s="31" t="n">
        <v>0</v>
      </c>
      <c r="F14" s="13" t="b">
        <v>1</v>
      </c>
      <c r="G14" s="32">
        <f>IF(AND(F14=TRUE,ISNUMBER(E14)),E14,0)</f>
        <v>0.0</v>
      </c>
      <c r="H14" s="33">
        <f>IF(ISNUMBER(E14),0,VALUE(LEFT(E14,FIND(" ",E14)-1)))</f>
        <v>0.0</v>
      </c>
    </row>
    <row r="15">
      <c r="A15" s="13" t="inlineStr">
        <is>
          <t>2026-09</t>
        </is>
      </c>
      <c r="B15" s="13" t="inlineStr">
        <is>
          <t>Amazon.com.au</t>
        </is>
      </c>
      <c r="C15" s="13" t="inlineStr">
        <is>
          <t>AUD</t>
        </is>
      </c>
      <c r="D15" s="31" t="n">
        <v>0</v>
      </c>
      <c r="E15" s="31" t="n">
        <v>0.07000000000000001</v>
      </c>
      <c r="F15" s="13" t="b">
        <v>1</v>
      </c>
      <c r="G15" s="32">
        <f>IF(AND(F15=TRUE,ISNUMBER(E15)),E15,0)</f>
        <v>0.07</v>
      </c>
      <c r="H15" s="33">
        <f>IF(ISNUMBER(E15),0,VALUE(LEFT(E15,FIND(" ",E15)-1)))</f>
        <v>0.0</v>
      </c>
    </row>
    <row r="16">
      <c r="A16" s="13" t="inlineStr">
        <is>
          <t>2026-09</t>
        </is>
      </c>
      <c r="B16" s="13" t="inlineStr">
        <is>
          <t>Amazon.com.br</t>
        </is>
      </c>
      <c r="C16" s="13" t="inlineStr">
        <is>
          <t>BRL</t>
        </is>
      </c>
      <c r="D16" s="31" t="n">
        <v>200.95</v>
      </c>
      <c r="E16" s="31" t="n">
        <v>10.18</v>
      </c>
      <c r="F16" s="13" t="b">
        <v>1</v>
      </c>
      <c r="G16" s="32">
        <f>IF(AND(F16=TRUE,ISNUMBER(E16)),E16,0)</f>
        <v>10.18</v>
      </c>
      <c r="H16" s="33">
        <f>IF(ISNUMBER(E16),0,VALUE(LEFT(E16,FIND(" ",E16)-1)))</f>
        <v>0.0</v>
      </c>
    </row>
    <row r="17">
      <c r="A17" s="13" t="inlineStr">
        <is>
          <t>2026-10</t>
        </is>
      </c>
      <c r="B17" s="13" t="inlineStr">
        <is>
          <t>Amazon.com</t>
        </is>
      </c>
      <c r="C17" s="13" t="inlineStr">
        <is>
          <t>USD</t>
        </is>
      </c>
      <c r="D17" s="31" t="n">
        <v>0</v>
      </c>
      <c r="E17" s="13" t="inlineStr">
        <is>
          <t>32 páginas</t>
        </is>
      </c>
      <c r="F17" s="13" t="b">
        <v>0</v>
      </c>
      <c r="G17" s="32">
        <f>IF(AND(F17=TRUE,ISNUMBER(E17)),E17,0)</f>
        <v>0.0</v>
      </c>
      <c r="H17" s="33">
        <f>IF(ISNUMBER(E17),0,VALUE(LEFT(E17,FIND(" ",E17)-1)))</f>
        <v>32.0</v>
      </c>
    </row>
    <row r="18">
      <c r="A18" s="13" t="inlineStr">
        <is>
          <t>2026-10</t>
        </is>
      </c>
      <c r="B18" s="13" t="inlineStr">
        <is>
          <t>Amazon.com.br</t>
        </is>
      </c>
      <c r="C18" s="13" t="inlineStr">
        <is>
          <t>BRL</t>
        </is>
      </c>
      <c r="D18" s="31" t="n">
        <v>323.61</v>
      </c>
      <c r="E18" s="13" t="inlineStr">
        <is>
          <t>584 páginas</t>
        </is>
      </c>
      <c r="F18" s="13" t="b">
        <v>0</v>
      </c>
      <c r="G18" s="32">
        <f>IF(AND(F18=TRUE,ISNUMBER(E18)),E18,0)</f>
        <v>0.0</v>
      </c>
      <c r="H18" s="33">
        <f>IF(ISNUMBER(E18),0,VALUE(LEFT(E18,FIND(" ",E18)-1)))</f>
        <v>584.0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2026-10-23T22:15:50Z</dcterms:created>
  <dcterms:modified xmlns:dcterms="http://purl.org/dc/terms/" xmlns:xsi="http://www.w3.org/2001/XMLSchema-instance" xsi:type="dcterms:W3CDTF">2026-10-23T22:15:50Z</dcterms:modified>
</cp:coreProperties>
</file>